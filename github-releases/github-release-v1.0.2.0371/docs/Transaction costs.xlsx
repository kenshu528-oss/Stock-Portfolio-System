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N17" i="1"/>
  <c r="O18" i="1"/>
  <c r="N18" i="1"/>
</calcChain>
</file>

<file path=xl/sharedStrings.xml><?xml version="1.0" encoding="utf-8"?>
<sst xmlns="http://schemas.openxmlformats.org/spreadsheetml/2006/main" count="19" uniqueCount="13">
  <si>
    <t>00937B</t>
  </si>
  <si>
    <t>群益ESG投等債20+</t>
  </si>
  <si>
    <t>3 次配息</t>
  </si>
  <si>
    <t>1 次配息</t>
  </si>
  <si>
    <t>(+1.96%)</t>
    <phoneticPr fontId="1" type="noConversion"/>
  </si>
  <si>
    <t xml:space="preserve"> (+1.68%)</t>
    <phoneticPr fontId="1" type="noConversion"/>
  </si>
  <si>
    <t xml:space="preserve"> (+1.53%)</t>
    <phoneticPr fontId="1" type="noConversion"/>
  </si>
  <si>
    <t xml:space="preserve"> (+1.66%)</t>
    <phoneticPr fontId="1" type="noConversion"/>
  </si>
  <si>
    <t>(+1.93%)</t>
    <phoneticPr fontId="1" type="noConversion"/>
  </si>
  <si>
    <t>國泰</t>
    <phoneticPr fontId="1" type="noConversion"/>
  </si>
  <si>
    <t>總損益</t>
    <phoneticPr fontId="1" type="noConversion"/>
  </si>
  <si>
    <t>市價</t>
    <phoneticPr fontId="1" type="noConversion"/>
  </si>
  <si>
    <t>Kiro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</si>
</sst>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15</xdr:row>
      <xdr:rowOff>143611</xdr:rowOff>
    </xdr:from>
    <xdr:to>
      <xdr:col>9</xdr:col>
      <xdr:colOff>10666</xdr:colOff>
      <xdr:row>25</xdr:row>
      <xdr:rowOff>78805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150" y="3090011"/>
          <a:ext cx="6335266" cy="1776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O18"/>
  <sheetViews>
    <sheetView tabSelected="1" workbookViewId="0">
      <selection activeCell="H13" sqref="H13"/>
    </sheetView>
  </sheetViews>
  <sheetFormatPr defaultRowHeight="14.5" x14ac:dyDescent="0.3"/>
  <cols>
    <col min="3" max="3" width="7.796875" bestFit="1" customWidth="1"/>
    <col min="4" max="4" width="20.8984375" bestFit="1" customWidth="1"/>
    <col min="5" max="5" width="7.8984375" bestFit="1" customWidth="1"/>
    <col min="6" max="6" width="13.3984375" bestFit="1" customWidth="1"/>
    <col min="7" max="7" width="19" bestFit="1" customWidth="1"/>
    <col min="8" max="8" width="14.09765625" customWidth="1"/>
    <col min="9" max="9" width="15.796875" bestFit="1" customWidth="1"/>
    <col min="10" max="10" width="15.796875" customWidth="1"/>
    <col min="11" max="11" width="9" bestFit="1" customWidth="1"/>
    <col min="12" max="12" width="10.296875" bestFit="1" customWidth="1"/>
    <col min="13" max="13" width="8" bestFit="1" customWidth="1"/>
    <col min="14" max="14" width="9.3984375" bestFit="1" customWidth="1"/>
  </cols>
  <sheetData>
    <row r="9" spans="3:13" x14ac:dyDescent="0.3">
      <c r="C9" t="s">
        <v>0</v>
      </c>
      <c r="D9" t="s">
        <v>1</v>
      </c>
      <c r="E9" s="1">
        <v>50000</v>
      </c>
      <c r="F9">
        <v>14.94</v>
      </c>
      <c r="G9">
        <v>15.24</v>
      </c>
      <c r="H9" s="1">
        <v>762000</v>
      </c>
      <c r="I9" s="1">
        <v>14398</v>
      </c>
      <c r="J9" t="s">
        <v>4</v>
      </c>
      <c r="K9" s="1">
        <v>10800</v>
      </c>
    </row>
    <row r="10" spans="3:13" x14ac:dyDescent="0.3">
      <c r="H10" s="1">
        <v>761729</v>
      </c>
      <c r="I10">
        <v>14431</v>
      </c>
      <c r="J10" t="s">
        <v>8</v>
      </c>
      <c r="K10" t="s">
        <v>2</v>
      </c>
    </row>
    <row r="11" spans="3:13" x14ac:dyDescent="0.3">
      <c r="C11" t="s">
        <v>0</v>
      </c>
      <c r="D11" t="s">
        <v>1</v>
      </c>
      <c r="E11" s="1">
        <v>100000</v>
      </c>
      <c r="F11">
        <v>14.98</v>
      </c>
      <c r="G11">
        <v>15.24</v>
      </c>
      <c r="H11" s="1">
        <v>1524000</v>
      </c>
      <c r="I11" s="1">
        <v>24794</v>
      </c>
      <c r="J11" t="s">
        <v>5</v>
      </c>
      <c r="K11" s="1">
        <v>21600</v>
      </c>
    </row>
    <row r="12" spans="3:13" x14ac:dyDescent="0.3">
      <c r="H12" s="1">
        <v>1523458</v>
      </c>
      <c r="I12">
        <v>24861</v>
      </c>
      <c r="J12" t="s">
        <v>7</v>
      </c>
      <c r="K12" t="s">
        <v>2</v>
      </c>
    </row>
    <row r="13" spans="3:13" x14ac:dyDescent="0.3">
      <c r="C13" t="s">
        <v>0</v>
      </c>
      <c r="D13" t="s">
        <v>1</v>
      </c>
      <c r="E13" s="1">
        <v>100000</v>
      </c>
      <c r="F13">
        <v>15</v>
      </c>
      <c r="G13">
        <v>15.24</v>
      </c>
      <c r="H13" s="1">
        <v>1524000</v>
      </c>
      <c r="I13" s="1">
        <v>22793</v>
      </c>
      <c r="J13" t="s">
        <v>6</v>
      </c>
      <c r="K13" s="1">
        <v>7200</v>
      </c>
    </row>
    <row r="14" spans="3:13" x14ac:dyDescent="0.3">
      <c r="H14" s="1">
        <v>1500534</v>
      </c>
      <c r="I14">
        <v>22924</v>
      </c>
      <c r="J14" t="s">
        <v>6</v>
      </c>
      <c r="K14" t="s">
        <v>3</v>
      </c>
    </row>
    <row r="16" spans="3:13" x14ac:dyDescent="0.3">
      <c r="L16" t="s">
        <v>11</v>
      </c>
      <c r="M16" t="s">
        <v>10</v>
      </c>
    </row>
    <row r="17" spans="11:15" x14ac:dyDescent="0.3">
      <c r="K17" t="s">
        <v>9</v>
      </c>
      <c r="L17">
        <v>15.24</v>
      </c>
      <c r="M17">
        <v>62216</v>
      </c>
      <c r="N17" s="1">
        <f>H10+H12+H14</f>
        <v>3785721</v>
      </c>
      <c r="O17" s="1">
        <f>I10+I12+I14</f>
        <v>62216</v>
      </c>
    </row>
    <row r="18" spans="11:15" x14ac:dyDescent="0.3">
      <c r="K18" t="s">
        <v>12</v>
      </c>
      <c r="L18">
        <v>15.24</v>
      </c>
      <c r="M18">
        <v>50556</v>
      </c>
      <c r="N18" s="1">
        <f>H9+H11+H13</f>
        <v>3810000</v>
      </c>
      <c r="O18" s="1">
        <f>I9+I11+I13</f>
        <v>61985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2026-01-15T04:01:52Z</dcterms:modified>
</cp:coreProperties>
</file>